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<sst xmlns="http://schemas.openxmlformats.org/spreadsheetml/2006/main" count="74" uniqueCount="59">
  <si>
    <t xml:space="preserve">Assumptions &amp; Levers</t>
  </si>
  <si>
    <t xml:space="preserve">Blue = editable input/lever. Adjust these and every scenario recalculates.</t>
  </si>
  <si>
    <t xml:space="preserve">Item</t>
  </si>
  <si>
    <t xml:space="preserve">Value</t>
  </si>
  <si>
    <t xml:space="preserve">Notes</t>
  </si>
  <si>
    <t xml:space="preserve">Stripe % fee</t>
  </si>
  <si>
    <t xml:space="preserve">per transaction (standard)</t>
  </si>
  <si>
    <t xml:space="preserve">Stripe fixed fee</t>
  </si>
  <si>
    <t xml:space="preserve">per transaction</t>
  </si>
  <si>
    <t xml:space="preserve">Infra cost / paid user / mo</t>
  </si>
  <si>
    <t xml:space="preserve">hosting, DB, real-time sockets</t>
  </si>
  <si>
    <t xml:space="preserve">Support &amp; overhead / paid user / mo</t>
  </si>
  <si>
    <t xml:space="preserve">amortized support/ops</t>
  </si>
  <si>
    <t xml:space="preserve">AI usage per PAID user / month</t>
  </si>
  <si>
    <t xml:space="preserve">heavy-user estimate</t>
  </si>
  <si>
    <t xml:space="preserve">Tier 1 (card) gens</t>
  </si>
  <si>
    <t xml:space="preserve">per user / month</t>
  </si>
  <si>
    <t xml:space="preserve">Tier 1 cost per gen</t>
  </si>
  <si>
    <t xml:space="preserve">premium model, ~3x Flash-Lite</t>
  </si>
  <si>
    <t xml:space="preserve">Tier 2 (lesson) gens</t>
  </si>
  <si>
    <t xml:space="preserve">Tier 2 cost per gen</t>
  </si>
  <si>
    <t xml:space="preserve">premium model</t>
  </si>
  <si>
    <t xml:space="preserve">Tier 3 (unit) gens</t>
  </si>
  <si>
    <t xml:space="preserve">Tier 3 cost per unit</t>
  </si>
  <si>
    <t xml:space="preserve">staged pipeline</t>
  </si>
  <si>
    <t xml:space="preserve">AI cost / paid user / mo</t>
  </si>
  <si>
    <t xml:space="preserve">computed</t>
  </si>
  <si>
    <t xml:space="preserve">Competitor 'Pro' price / mo (reference)</t>
  </si>
  <si>
    <t xml:space="preserve">Common Planner Pro</t>
  </si>
  <si>
    <t xml:space="preserve">Annual incentive: free months</t>
  </si>
  <si>
    <t xml:space="preserve">annual = pay for (12 - this)</t>
  </si>
  <si>
    <t xml:space="preserve">Pricing Scenarios — profitable AND under Common Planner's $5.59</t>
  </si>
  <si>
    <t xml:space="preserve">Every scenario below undercuts their $5.59 AI plan. Green = live formulas from Assumptions.</t>
  </si>
  <si>
    <t xml:space="preserve">Plan</t>
  </si>
  <si>
    <t xml:space="preserve">AI?</t>
  </si>
  <si>
    <t xml:space="preserve">Billing</t>
  </si>
  <si>
    <t xml:space="preserve">Monthly list price</t>
  </si>
  <si>
    <t xml:space="preserve">Eff. monthly revenue</t>
  </si>
  <si>
    <t xml:space="preserve">Stripe fee /mo</t>
  </si>
  <si>
    <t xml:space="preserve">AI cost /mo</t>
  </si>
  <si>
    <t xml:space="preserve">Infra /mo</t>
  </si>
  <si>
    <t xml:space="preserve">Support /mo</t>
  </si>
  <si>
    <t xml:space="preserve">Total cost /mo</t>
  </si>
  <si>
    <t xml:space="preserve">Gross profit /mo</t>
  </si>
  <si>
    <t xml:space="preserve">Gross margin %</t>
  </si>
  <si>
    <t xml:space="preserve">Basic (no AI)</t>
  </si>
  <si>
    <t xml:space="preserve">No</t>
  </si>
  <si>
    <t xml:space="preserve">Monthly</t>
  </si>
  <si>
    <t xml:space="preserve">Annual</t>
  </si>
  <si>
    <t xml:space="preserve">Plus (AI) — recommended</t>
  </si>
  <si>
    <t xml:space="preserve">Yes</t>
  </si>
  <si>
    <t xml:space="preserve">Plus (AI) — aggressive</t>
  </si>
  <si>
    <t xml:space="preserve">Competitor Pro (AI) — ref</t>
  </si>
  <si>
    <t xml:space="preserve">Key takeaways:</t>
  </si>
  <si>
    <t xml:space="preserve">• AI is only ~$0.20 / paid user / mo — cost is trivial. Stripe fees + infra dominate at low price points.</t>
  </si>
  <si>
    <t xml:space="preserve">• Annual billing amortizes Stripe's $0.30 fixed fee -&gt; HIGHER margin % than monthly, even at a lower effective price. Push annual.</t>
  </si>
  <si>
    <t xml:space="preserve">• Plus (AI) at $4.99 undercuts their $5.59 AND includes unit-level AI generation they don't have, at ~78% gross margin.</t>
  </si>
  <si>
    <t xml:space="preserve">• Even the aggressive $3.99 AI tier holds ~73% margin. Room to compete on price if needed.</t>
  </si>
  <si>
    <t xml:space="preserve">• Margins here are GROSS (per-user variable). Fixed costs (salaries, marketing) are covered by volume — model those separately.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</si>
</sst>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0"/>
    <numFmt numFmtId="167" formatCode="#,##0"/>
    <numFmt numFmtId="168" formatCode="\$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0.029</v>
      </c>
      <c r="C4" s="6" t="s">
        <v>6</v>
      </c>
    </row>
    <row r="5" customFormat="false" ht="15" hidden="false" customHeight="false" outlineLevel="0" collapsed="false">
      <c r="A5" s="4" t="s">
        <v>7</v>
      </c>
      <c r="B5" s="7" t="n">
        <v>0.3</v>
      </c>
      <c r="C5" s="6" t="s">
        <v>8</v>
      </c>
    </row>
    <row r="6" customFormat="false" ht="15" hidden="false" customHeight="false" outlineLevel="0" collapsed="false">
      <c r="A6" s="4" t="s">
        <v>9</v>
      </c>
      <c r="B6" s="7" t="n">
        <v>0.3</v>
      </c>
      <c r="C6" s="6" t="s">
        <v>10</v>
      </c>
    </row>
    <row r="7" customFormat="false" ht="15" hidden="false" customHeight="false" outlineLevel="0" collapsed="false">
      <c r="A7" s="4" t="s">
        <v>11</v>
      </c>
      <c r="B7" s="7" t="n">
        <v>0.15</v>
      </c>
      <c r="C7" s="6" t="s">
        <v>12</v>
      </c>
    </row>
    <row r="9" customFormat="false" ht="15" hidden="false" customHeight="false" outlineLevel="0" collapsed="false">
      <c r="A9" s="8" t="s">
        <v>13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9" t="n">
        <v>100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10" t="n">
        <v>0.0012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9" t="n">
        <v>20</v>
      </c>
      <c r="C12" s="6" t="s">
        <v>16</v>
      </c>
    </row>
    <row r="13" customFormat="false" ht="15" hidden="false" customHeight="false" outlineLevel="0" collapsed="false">
      <c r="A13" s="4" t="s">
        <v>20</v>
      </c>
      <c r="B13" s="10" t="n">
        <v>0.0024</v>
      </c>
      <c r="C13" s="6" t="s">
        <v>21</v>
      </c>
    </row>
    <row r="14" customFormat="false" ht="15" hidden="false" customHeight="false" outlineLevel="0" collapsed="false">
      <c r="A14" s="4" t="s">
        <v>22</v>
      </c>
      <c r="B14" s="9" t="n">
        <v>2</v>
      </c>
      <c r="C14" s="6" t="s">
        <v>16</v>
      </c>
    </row>
    <row r="15" customFormat="false" ht="15" hidden="false" customHeight="false" outlineLevel="0" collapsed="false">
      <c r="A15" s="4" t="s">
        <v>23</v>
      </c>
      <c r="B15" s="10" t="n">
        <v>0.015</v>
      </c>
      <c r="C15" s="6" t="s">
        <v>24</v>
      </c>
    </row>
    <row r="16" customFormat="false" ht="15" hidden="false" customHeight="false" outlineLevel="0" collapsed="false">
      <c r="A16" s="11" t="s">
        <v>25</v>
      </c>
      <c r="B16" s="12" t="n">
        <f aca="false">B10*B11+B12*B13+B14*B15</f>
        <v>0.198</v>
      </c>
      <c r="C16" s="6" t="s">
        <v>26</v>
      </c>
    </row>
    <row r="18" customFormat="false" ht="15" hidden="false" customHeight="false" outlineLevel="0" collapsed="false">
      <c r="A18" s="4" t="s">
        <v>27</v>
      </c>
      <c r="B18" s="7" t="n">
        <v>5.59</v>
      </c>
      <c r="C18" s="6" t="s">
        <v>28</v>
      </c>
    </row>
    <row r="19" customFormat="false" ht="15" hidden="false" customHeight="false" outlineLevel="0" collapsed="false">
      <c r="A19" s="4" t="s">
        <v>29</v>
      </c>
      <c r="B19" s="9" t="n">
        <v>2</v>
      </c>
      <c r="C19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9.55" hidden="false" customHeight="false" outlineLevel="0" collapsed="false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  <c r="F4" s="13" t="s">
        <v>38</v>
      </c>
      <c r="G4" s="13" t="s">
        <v>39</v>
      </c>
      <c r="H4" s="13" t="s">
        <v>40</v>
      </c>
      <c r="I4" s="13" t="s">
        <v>41</v>
      </c>
      <c r="J4" s="13" t="s">
        <v>42</v>
      </c>
      <c r="K4" s="13" t="s">
        <v>43</v>
      </c>
      <c r="L4" s="13" t="s">
        <v>44</v>
      </c>
    </row>
    <row r="5" customFormat="false" ht="15" hidden="false" customHeight="false" outlineLevel="0" collapsed="false">
      <c r="A5" s="4" t="s">
        <v>45</v>
      </c>
      <c r="B5" s="4" t="s">
        <v>46</v>
      </c>
      <c r="C5" s="4" t="s">
        <v>47</v>
      </c>
      <c r="D5" s="7" t="n">
        <v>2.99</v>
      </c>
      <c r="E5" s="14" t="n">
        <f aca="false">D5</f>
        <v>2.99</v>
      </c>
      <c r="F5" s="14" t="n">
        <f aca="false">E5*Assumptions!$B$4+Assumptions!$B$5</f>
        <v>0.38671</v>
      </c>
      <c r="G5" s="14" t="n">
        <f aca="false">IF(B5="Yes",Assumptions!$B$16,0)</f>
        <v>0</v>
      </c>
      <c r="H5" s="14" t="n">
        <f aca="false">Assumptions!$B$6</f>
        <v>0.3</v>
      </c>
      <c r="I5" s="14" t="n">
        <f aca="false">Assumptions!$B$7</f>
        <v>0.15</v>
      </c>
      <c r="J5" s="14" t="n">
        <f aca="false">F5+G5+H5+I5</f>
        <v>0.83671</v>
      </c>
      <c r="K5" s="14" t="n">
        <f aca="false">E5-J5</f>
        <v>2.15329</v>
      </c>
      <c r="L5" s="15" t="n">
        <f aca="false">K5/E5</f>
        <v>0.720163879598662</v>
      </c>
    </row>
    <row r="6" customFormat="false" ht="15" hidden="false" customHeight="false" outlineLevel="0" collapsed="false">
      <c r="A6" s="4" t="s">
        <v>45</v>
      </c>
      <c r="B6" s="4" t="s">
        <v>46</v>
      </c>
      <c r="C6" s="4" t="s">
        <v>48</v>
      </c>
      <c r="D6" s="7" t="n">
        <v>2.99</v>
      </c>
      <c r="E6" s="14" t="n">
        <f aca="false">D6*(12-Assumptions!$B$19)/12</f>
        <v>2.49166666666667</v>
      </c>
      <c r="F6" s="14" t="n">
        <f aca="false">(E6*12*Assumptions!$B$4+Assumptions!$B$5)/12</f>
        <v>0.0972583333333333</v>
      </c>
      <c r="G6" s="14" t="n">
        <f aca="false">IF(B6="Yes",Assumptions!$B$16,0)</f>
        <v>0</v>
      </c>
      <c r="H6" s="14" t="n">
        <f aca="false">Assumptions!$B$6</f>
        <v>0.3</v>
      </c>
      <c r="I6" s="14" t="n">
        <f aca="false">Assumptions!$B$7</f>
        <v>0.15</v>
      </c>
      <c r="J6" s="14" t="n">
        <f aca="false">F6+G6+H6+I6</f>
        <v>0.547258333333333</v>
      </c>
      <c r="K6" s="14" t="n">
        <f aca="false">E6-J6</f>
        <v>1.94440833333333</v>
      </c>
      <c r="L6" s="15" t="n">
        <f aca="false">K6/E6</f>
        <v>0.780364548494983</v>
      </c>
    </row>
    <row r="7" customFormat="false" ht="15" hidden="false" customHeight="false" outlineLevel="0" collapsed="false">
      <c r="A7" s="16" t="s">
        <v>49</v>
      </c>
      <c r="B7" s="16" t="s">
        <v>50</v>
      </c>
      <c r="C7" s="16" t="s">
        <v>47</v>
      </c>
      <c r="D7" s="17" t="n">
        <v>4.99</v>
      </c>
      <c r="E7" s="18" t="n">
        <f aca="false">D7</f>
        <v>4.99</v>
      </c>
      <c r="F7" s="18" t="n">
        <f aca="false">E7*Assumptions!$B$4+Assumptions!$B$5</f>
        <v>0.44471</v>
      </c>
      <c r="G7" s="18" t="n">
        <f aca="false">IF(B7="Yes",Assumptions!$B$16,0)</f>
        <v>0.198</v>
      </c>
      <c r="H7" s="18" t="n">
        <f aca="false">Assumptions!$B$6</f>
        <v>0.3</v>
      </c>
      <c r="I7" s="18" t="n">
        <f aca="false">Assumptions!$B$7</f>
        <v>0.15</v>
      </c>
      <c r="J7" s="18" t="n">
        <f aca="false">F7+G7+H7+I7</f>
        <v>1.09271</v>
      </c>
      <c r="K7" s="18" t="n">
        <f aca="false">E7-J7</f>
        <v>3.89729</v>
      </c>
      <c r="L7" s="19" t="n">
        <f aca="false">K7/E7</f>
        <v>0.78102004008016</v>
      </c>
    </row>
    <row r="8" customFormat="false" ht="15" hidden="false" customHeight="false" outlineLevel="0" collapsed="false">
      <c r="A8" s="16" t="s">
        <v>49</v>
      </c>
      <c r="B8" s="16" t="s">
        <v>50</v>
      </c>
      <c r="C8" s="16" t="s">
        <v>48</v>
      </c>
      <c r="D8" s="17" t="n">
        <v>4.99</v>
      </c>
      <c r="E8" s="18" t="n">
        <f aca="false">D8*(12-Assumptions!$B$19)/12</f>
        <v>4.15833333333333</v>
      </c>
      <c r="F8" s="18" t="n">
        <f aca="false">(E8*12*Assumptions!$B$4+Assumptions!$B$5)/12</f>
        <v>0.145591666666667</v>
      </c>
      <c r="G8" s="18" t="n">
        <f aca="false">IF(B8="Yes",Assumptions!$B$16,0)</f>
        <v>0.198</v>
      </c>
      <c r="H8" s="18" t="n">
        <f aca="false">Assumptions!$B$6</f>
        <v>0.3</v>
      </c>
      <c r="I8" s="18" t="n">
        <f aca="false">Assumptions!$B$7</f>
        <v>0.15</v>
      </c>
      <c r="J8" s="18" t="n">
        <f aca="false">F8+G8+H8+I8</f>
        <v>0.793591666666667</v>
      </c>
      <c r="K8" s="18" t="n">
        <f aca="false">E8-J8</f>
        <v>3.36474166666667</v>
      </c>
      <c r="L8" s="19" t="n">
        <f aca="false">K8/E8</f>
        <v>0.809156312625251</v>
      </c>
    </row>
    <row r="9" customFormat="false" ht="15" hidden="false" customHeight="false" outlineLevel="0" collapsed="false">
      <c r="A9" s="4" t="s">
        <v>51</v>
      </c>
      <c r="B9" s="4" t="s">
        <v>50</v>
      </c>
      <c r="C9" s="4" t="s">
        <v>47</v>
      </c>
      <c r="D9" s="7" t="n">
        <v>3.99</v>
      </c>
      <c r="E9" s="14" t="n">
        <f aca="false">D9</f>
        <v>3.99</v>
      </c>
      <c r="F9" s="14" t="n">
        <f aca="false">E9*Assumptions!$B$4+Assumptions!$B$5</f>
        <v>0.41571</v>
      </c>
      <c r="G9" s="14" t="n">
        <f aca="false">IF(B9="Yes",Assumptions!$B$16,0)</f>
        <v>0.198</v>
      </c>
      <c r="H9" s="14" t="n">
        <f aca="false">Assumptions!$B$6</f>
        <v>0.3</v>
      </c>
      <c r="I9" s="14" t="n">
        <f aca="false">Assumptions!$B$7</f>
        <v>0.15</v>
      </c>
      <c r="J9" s="14" t="n">
        <f aca="false">F9+G9+H9+I9</f>
        <v>1.06371</v>
      </c>
      <c r="K9" s="14" t="n">
        <f aca="false">E9-J9</f>
        <v>2.92629</v>
      </c>
      <c r="L9" s="15" t="n">
        <f aca="false">K9/E9</f>
        <v>0.733406015037594</v>
      </c>
    </row>
    <row r="10" customFormat="false" ht="15" hidden="false" customHeight="false" outlineLevel="0" collapsed="false">
      <c r="A10" s="4" t="s">
        <v>51</v>
      </c>
      <c r="B10" s="4" t="s">
        <v>50</v>
      </c>
      <c r="C10" s="4" t="s">
        <v>48</v>
      </c>
      <c r="D10" s="7" t="n">
        <v>3.99</v>
      </c>
      <c r="E10" s="14" t="n">
        <f aca="false">D10*(12-Assumptions!$B$19)/12</f>
        <v>3.325</v>
      </c>
      <c r="F10" s="14" t="n">
        <f aca="false">(E10*12*Assumptions!$B$4+Assumptions!$B$5)/12</f>
        <v>0.121425</v>
      </c>
      <c r="G10" s="14" t="n">
        <f aca="false">IF(B10="Yes",Assumptions!$B$16,0)</f>
        <v>0.198</v>
      </c>
      <c r="H10" s="14" t="n">
        <f aca="false">Assumptions!$B$6</f>
        <v>0.3</v>
      </c>
      <c r="I10" s="14" t="n">
        <f aca="false">Assumptions!$B$7</f>
        <v>0.15</v>
      </c>
      <c r="J10" s="14" t="n">
        <f aca="false">F10+G10+H10+I10</f>
        <v>0.769425</v>
      </c>
      <c r="K10" s="14" t="n">
        <f aca="false">E10-J10</f>
        <v>2.555575</v>
      </c>
      <c r="L10" s="15" t="n">
        <f aca="false">K10/E10</f>
        <v>0.768593984962406</v>
      </c>
    </row>
    <row r="11" customFormat="false" ht="15" hidden="false" customHeight="false" outlineLevel="0" collapsed="false">
      <c r="A11" s="20" t="s">
        <v>52</v>
      </c>
      <c r="B11" s="20" t="s">
        <v>50</v>
      </c>
      <c r="C11" s="20" t="s">
        <v>47</v>
      </c>
      <c r="D11" s="21" t="n">
        <v>5.59</v>
      </c>
      <c r="E11" s="22" t="n">
        <f aca="false">D11</f>
        <v>5.59</v>
      </c>
      <c r="F11" s="22" t="n">
        <f aca="false">E11*Assumptions!$B$4+Assumptions!$B$5</f>
        <v>0.46211</v>
      </c>
      <c r="G11" s="22" t="n">
        <f aca="false">IF(B11="Yes",Assumptions!$B$16,0)</f>
        <v>0.198</v>
      </c>
      <c r="H11" s="22" t="n">
        <f aca="false">Assumptions!$B$6</f>
        <v>0.3</v>
      </c>
      <c r="I11" s="22" t="n">
        <f aca="false">Assumptions!$B$7</f>
        <v>0.15</v>
      </c>
      <c r="J11" s="22" t="n">
        <f aca="false">F11+G11+H11+I11</f>
        <v>1.11011</v>
      </c>
      <c r="K11" s="22" t="n">
        <f aca="false">E11-J11</f>
        <v>4.47989</v>
      </c>
      <c r="L11" s="23" t="n">
        <f aca="false">K11/E11</f>
        <v>0.8014114490161</v>
      </c>
    </row>
    <row r="14" customFormat="false" ht="15" hidden="false" customHeight="false" outlineLevel="0" collapsed="false">
      <c r="A14" s="24" t="s">
        <v>53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customFormat="false" ht="15" hidden="false" customHeight="false" outlineLevel="0" collapsed="false">
      <c r="A15" s="25" t="s">
        <v>54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customFormat="false" ht="15" hidden="false" customHeight="false" outlineLevel="0" collapsed="false">
      <c r="A16" s="25" t="s">
        <v>55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customFormat="false" ht="15" hidden="false" customHeight="false" outlineLevel="0" collapsed="false">
      <c r="A17" s="25" t="s">
        <v>56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customFormat="false" ht="15" hidden="false" customHeight="false" outlineLevel="0" collapsed="false">
      <c r="A18" s="25" t="s">
        <v>57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customFormat="false" ht="15" hidden="false" customHeight="false" outlineLevel="0" collapsed="false">
      <c r="A19" s="25" t="s">
        <v>58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</sheetData>
  <mergeCells count="6">
    <mergeCell ref="A14:L14"/>
    <mergeCell ref="A15:L15"/>
    <mergeCell ref="A16:L16"/>
    <mergeCell ref="A17:L17"/>
    <mergeCell ref="A18:L18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2026-07-16T12:31:55Z</dcterms:created>
  <dc:creator>openpyxl</dc:creator>
  <dc:description/>
  <dc:language>en-US</dc:language>
  <cp:lastModifiedBy/>
  <dcterms:modified xsi:type="dcterms:W3CDTF">2026-07-16T12:31:55Z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